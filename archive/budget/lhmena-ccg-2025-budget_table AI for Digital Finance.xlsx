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Joerg\Research\slides\2025_LeadingHouse_Travel\"/>
    </mc:Choice>
  </mc:AlternateContent>
  <xr:revisionPtr revIDLastSave="0" documentId="13_ncr:1_{29529EFB-DEFB-415E-BD59-1C25EFAE0D64}" xr6:coauthVersionLast="47" xr6:coauthVersionMax="47" xr10:uidLastSave="{00000000-0000-0000-0000-000000000000}"/>
  <bookViews>
    <workbookView xWindow="-110" yWindow="-110" windowWidth="19420" windowHeight="10300" xr2:uid="{00000000-000D-0000-FFFF-FFFF00000000}"/>
  </bookViews>
  <sheets>
    <sheet name="Table" sheetId="1" r:id="rId1"/>
    <sheet name="Example"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3" l="1"/>
  <c r="E12" i="3"/>
  <c r="C12" i="3"/>
  <c r="C27" i="3"/>
  <c r="E22" i="3"/>
  <c r="E13" i="3"/>
  <c r="C13" i="3"/>
  <c r="G12" i="3"/>
  <c r="G13" i="3"/>
  <c r="G14" i="3"/>
  <c r="G15" i="3"/>
  <c r="G16" i="3"/>
  <c r="G17" i="3"/>
  <c r="G18" i="3"/>
  <c r="G22" i="3"/>
  <c r="G23" i="3"/>
  <c r="G24" i="3"/>
  <c r="G25" i="3"/>
  <c r="G26" i="3"/>
  <c r="G27" i="3"/>
  <c r="G28" i="3"/>
  <c r="C34" i="3"/>
  <c r="C33" i="3"/>
  <c r="C18" i="3"/>
  <c r="C28" i="3"/>
  <c r="C32" i="3"/>
  <c r="F28" i="3"/>
  <c r="E28" i="3"/>
  <c r="D28" i="3"/>
  <c r="F18" i="3"/>
  <c r="E18" i="3"/>
  <c r="D18" i="3"/>
  <c r="C33" i="1"/>
  <c r="C18" i="1"/>
  <c r="C28" i="1"/>
  <c r="G27" i="1"/>
  <c r="G12" i="1"/>
  <c r="G13" i="1"/>
  <c r="G14" i="1"/>
  <c r="G15" i="1"/>
  <c r="G16" i="1"/>
  <c r="G17" i="1"/>
  <c r="G22" i="1"/>
  <c r="G23" i="1"/>
  <c r="G24" i="1"/>
  <c r="G25" i="1"/>
  <c r="G26" i="1"/>
  <c r="F28" i="1"/>
  <c r="E28" i="1"/>
  <c r="D28" i="1"/>
  <c r="E18" i="1"/>
  <c r="D18" i="1"/>
  <c r="F18" i="1"/>
  <c r="C32" i="1" l="1"/>
  <c r="G28" i="1"/>
  <c r="G18" i="1"/>
  <c r="C34" i="1" s="1"/>
</calcChain>
</file>

<file path=xl/sharedStrings.xml><?xml version="1.0" encoding="utf-8"?>
<sst xmlns="http://schemas.openxmlformats.org/spreadsheetml/2006/main" count="101" uniqueCount="40">
  <si>
    <t>Leading House for the Middle East and North Africa</t>
  </si>
  <si>
    <t>Please provide information in all fields marked in blue.</t>
  </si>
  <si>
    <t>Costs in foreign currency must be shown in Swiss francs.</t>
  </si>
  <si>
    <t>Project title</t>
  </si>
  <si>
    <t>Costs for the Swiss partners</t>
  </si>
  <si>
    <t>Details</t>
  </si>
  <si>
    <t>Work-related institutional costs</t>
  </si>
  <si>
    <t>Travel</t>
  </si>
  <si>
    <t>Category</t>
  </si>
  <si>
    <t>Covered by RPG</t>
  </si>
  <si>
    <t>Covered by own contribution (cash)</t>
  </si>
  <si>
    <t>Covered by own contribution (in kind)</t>
  </si>
  <si>
    <t>Covered by third party contribution</t>
  </si>
  <si>
    <t>Total</t>
  </si>
  <si>
    <t>Subsistence costs</t>
  </si>
  <si>
    <t>Total costs for the Swiss partners</t>
  </si>
  <si>
    <t>Costs for the partners in the MENA region</t>
  </si>
  <si>
    <t>Comment</t>
  </si>
  <si>
    <t>Maximum 20% of the grant can be used to cover these costs. This applies only to Swiss universities of applied sciences and universities of teacher education. The work of the main applicant cannot be included.</t>
  </si>
  <si>
    <t>Total project costs</t>
  </si>
  <si>
    <t>Connect &amp; Collaborate Grant 2025 - Budget table</t>
  </si>
  <si>
    <t>Scientific publication</t>
  </si>
  <si>
    <t>Not eligible</t>
  </si>
  <si>
    <t>General publication</t>
  </si>
  <si>
    <t>Organization of an event (venue, equipment, catering, promotion, technical support)</t>
  </si>
  <si>
    <t>Total requested CCG</t>
  </si>
  <si>
    <t>The amount should not exceed CHF 5,000</t>
  </si>
  <si>
    <t>Event in partner country for main applicant (covered by university) + research assistant (covered by CCG). Return flights (2* 600 CHF), Hotel for 6 nights (2 * 6 * 80 CHF).</t>
  </si>
  <si>
    <t>Work of the main applicant (50 hours at 25 CHF, covered by university)</t>
  </si>
  <si>
    <t>Costs of event for 3 days: catering (3 * 200 CHF), costs for 3 external speakers (internal travel 50 CHF, accommodation 3 * 80 CHF, daily allowance 3 * 25 CHF), room and equipment (1 kCHF, provided by university)</t>
  </si>
  <si>
    <t>Work of the main applicant (20 hours at 110 CHF, covered by university) and of research assistant (20 hours at 80 CHF, partly covered by CCG)</t>
  </si>
  <si>
    <t>Production of a leaflet to be distributed to event participants (300 CHF). Social media campaign (500 CHF)</t>
  </si>
  <si>
    <t>Covered by CCG</t>
  </si>
  <si>
    <t>Summary and verification</t>
  </si>
  <si>
    <t>Artificial Intelligence for Digital Finance</t>
  </si>
  <si>
    <t>Work of the main applicant (15 hours at 110 CHF, covered by university) and of scientific employee (17 hours at 50 CHF)</t>
  </si>
  <si>
    <t>Production of a leaflet to be distributed to event participants (600 CHF).</t>
  </si>
  <si>
    <t>Work of the main applicant (50 hours at 100 CHF, covered by university)</t>
  </si>
  <si>
    <t>Costs of event for 3 days: catering (3 * 500 CHF), costs for 3 external speakers (travel 500 CHF each, accommodation 3 * 100 CHF), room and equipment (1 kCHF, provided by university)</t>
  </si>
  <si>
    <t>Event in partner country for main applicant + scientific employee. Return flights (2* 1000 CHF), Hotel for 4 nights (2 * 4 * 80 CHF).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</si>
</sst>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CHF&quot;_-;\-* #,##0.00\ &quot;CHF&quot;_-;_-* &quot;-&quot;??\ &quot;CHF&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1"/>
      <color theme="0"/>
      <name val="Calibri"/>
      <family val="2"/>
      <scheme val="minor"/>
    </font>
    <font>
      <sz val="1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1"/>
        <bgColor indexed="64"/>
      </patternFill>
    </fill>
  </fills>
  <borders count="28">
    <border>
      <left/>
      <right/>
      <top/>
      <bottom/>
      <diagonal/>
    </border>
    <border>
      <left/>
      <right style="medium">
        <color indexed="64"/>
      </right>
      <top style="medium">
        <color indexed="64"/>
      </top>
      <bottom style="thin">
        <color indexed="64"/>
      </bottom>
      <diagonal/>
    </border>
    <border>
      <left/>
      <right style="medium">
        <color indexed="64"/>
      </right>
      <top style="dotted">
        <color indexed="64"/>
      </top>
      <bottom style="dotted">
        <color indexed="64"/>
      </bottom>
      <diagonal/>
    </border>
    <border>
      <left style="medium">
        <color indexed="64"/>
      </left>
      <right style="thin">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right style="thin">
        <color indexed="64"/>
      </right>
      <top/>
      <bottom style="medium">
        <color indexed="64"/>
      </bottom>
      <diagonal/>
    </border>
    <border>
      <left/>
      <right style="thin">
        <color indexed="64"/>
      </right>
      <top style="dotted">
        <color indexed="64"/>
      </top>
      <bottom style="dotted">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dotted">
        <color indexed="64"/>
      </right>
      <top/>
      <bottom style="medium">
        <color indexed="64"/>
      </bottom>
      <diagonal/>
    </border>
    <border>
      <left style="thin">
        <color indexed="64"/>
      </left>
      <right style="thin">
        <color indexed="64"/>
      </right>
      <top style="thin">
        <color indexed="64"/>
      </top>
      <bottom style="dotted">
        <color indexed="64"/>
      </bottom>
      <diagonal/>
    </border>
    <border>
      <left style="medium">
        <color indexed="64"/>
      </left>
      <right style="thin">
        <color indexed="64"/>
      </right>
      <top style="thin">
        <color indexed="64"/>
      </top>
      <bottom style="dotted">
        <color indexed="64"/>
      </bottom>
      <diagonal/>
    </border>
    <border>
      <left style="medium">
        <color indexed="64"/>
      </left>
      <right style="thin">
        <color indexed="64"/>
      </right>
      <top style="medium">
        <color indexed="64"/>
      </top>
      <bottom style="thin">
        <color indexed="64"/>
      </bottom>
      <diagonal/>
    </border>
    <border>
      <left/>
      <right style="thin">
        <color indexed="64"/>
      </right>
      <top style="thin">
        <color indexed="64"/>
      </top>
      <bottom style="dotted">
        <color auto="1"/>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dotted">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right style="thin">
        <color indexed="64"/>
      </right>
      <top style="dotted">
        <color indexed="64"/>
      </top>
      <bottom style="thin">
        <color indexed="64"/>
      </bottom>
      <diagonal/>
    </border>
  </borders>
  <cellStyleXfs count="2">
    <xf numFmtId="0" fontId="0" fillId="0" borderId="0"/>
    <xf numFmtId="164" fontId="1" fillId="0" borderId="0" applyFont="0" applyFill="0" applyBorder="0" applyAlignment="0" applyProtection="0"/>
  </cellStyleXfs>
  <cellXfs count="46">
    <xf numFmtId="0" fontId="0" fillId="0" borderId="0" xfId="0"/>
    <xf numFmtId="0" fontId="2" fillId="0" borderId="0" xfId="0" applyFont="1"/>
    <xf numFmtId="0" fontId="2" fillId="0" borderId="0" xfId="0" applyFont="1" applyAlignment="1">
      <alignment vertical="top" wrapText="1"/>
    </xf>
    <xf numFmtId="0" fontId="3" fillId="0" borderId="0" xfId="0" applyFont="1"/>
    <xf numFmtId="0" fontId="2" fillId="0" borderId="11" xfId="0" applyFont="1" applyBorder="1"/>
    <xf numFmtId="0" fontId="2" fillId="0" borderId="12" xfId="0" applyFont="1" applyBorder="1"/>
    <xf numFmtId="0" fontId="0" fillId="0" borderId="14" xfId="0" applyBorder="1"/>
    <xf numFmtId="0" fontId="0" fillId="0" borderId="3" xfId="0" applyBorder="1"/>
    <xf numFmtId="0" fontId="5" fillId="0" borderId="3" xfId="0" applyFont="1" applyBorder="1"/>
    <xf numFmtId="0" fontId="0" fillId="0" borderId="13" xfId="0" applyBorder="1" applyAlignment="1">
      <alignment wrapText="1"/>
    </xf>
    <xf numFmtId="0" fontId="0" fillId="0" borderId="8" xfId="0" applyBorder="1" applyAlignment="1">
      <alignment wrapText="1"/>
    </xf>
    <xf numFmtId="0" fontId="3" fillId="0" borderId="0" xfId="0" applyFont="1" applyAlignment="1">
      <alignment wrapText="1"/>
    </xf>
    <xf numFmtId="0" fontId="0" fillId="0" borderId="0" xfId="0" applyAlignment="1">
      <alignment vertical="center"/>
    </xf>
    <xf numFmtId="0" fontId="2" fillId="0" borderId="15" xfId="0" applyFont="1" applyBorder="1" applyAlignment="1">
      <alignment horizontal="center" vertical="center"/>
    </xf>
    <xf numFmtId="0" fontId="2" fillId="0" borderId="10" xfId="0" applyFont="1" applyBorder="1" applyAlignment="1">
      <alignment horizontal="center" vertical="center"/>
    </xf>
    <xf numFmtId="0" fontId="0" fillId="0" borderId="25" xfId="0" applyBorder="1"/>
    <xf numFmtId="0" fontId="0" fillId="0" borderId="26" xfId="0" applyBorder="1" applyAlignment="1">
      <alignment wrapText="1"/>
    </xf>
    <xf numFmtId="0" fontId="2" fillId="2" borderId="0" xfId="0" applyFont="1" applyFill="1" applyAlignment="1" applyProtection="1">
      <alignment vertical="top" wrapText="1"/>
      <protection locked="0"/>
    </xf>
    <xf numFmtId="164" fontId="0" fillId="2" borderId="6" xfId="1" applyFont="1" applyFill="1" applyBorder="1" applyProtection="1">
      <protection locked="0"/>
    </xf>
    <xf numFmtId="164" fontId="0" fillId="2" borderId="8" xfId="1" applyFont="1" applyFill="1" applyBorder="1" applyProtection="1">
      <protection locked="0"/>
    </xf>
    <xf numFmtId="164" fontId="0" fillId="2" borderId="19" xfId="1" applyFont="1" applyFill="1" applyBorder="1" applyProtection="1">
      <protection locked="0"/>
    </xf>
    <xf numFmtId="164" fontId="5" fillId="2" borderId="6" xfId="1" applyFont="1" applyFill="1" applyBorder="1" applyProtection="1">
      <protection locked="0"/>
    </xf>
    <xf numFmtId="164" fontId="5" fillId="2" borderId="8" xfId="1" applyFont="1" applyFill="1" applyBorder="1" applyProtection="1">
      <protection locked="0"/>
    </xf>
    <xf numFmtId="164" fontId="5" fillId="2" borderId="19" xfId="1" applyFont="1" applyFill="1" applyBorder="1" applyProtection="1">
      <protection locked="0"/>
    </xf>
    <xf numFmtId="164" fontId="0" fillId="2" borderId="7" xfId="1" applyFont="1" applyFill="1" applyBorder="1" applyProtection="1">
      <protection locked="0"/>
    </xf>
    <xf numFmtId="164" fontId="0" fillId="2" borderId="9" xfId="1" applyFont="1" applyFill="1" applyBorder="1" applyProtection="1">
      <protection locked="0"/>
    </xf>
    <xf numFmtId="164" fontId="0" fillId="2" borderId="20" xfId="1" applyFont="1" applyFill="1" applyBorder="1" applyProtection="1">
      <protection locked="0"/>
    </xf>
    <xf numFmtId="164" fontId="0" fillId="0" borderId="2" xfId="1" applyFont="1" applyFill="1" applyBorder="1" applyProtection="1"/>
    <xf numFmtId="164" fontId="0" fillId="0" borderId="22" xfId="1" applyFont="1" applyFill="1" applyBorder="1" applyProtection="1"/>
    <xf numFmtId="164" fontId="2" fillId="0" borderId="21" xfId="1" applyFont="1" applyBorder="1" applyProtection="1"/>
    <xf numFmtId="0" fontId="2" fillId="0" borderId="17" xfId="1" applyNumberFormat="1" applyFont="1" applyBorder="1" applyAlignment="1" applyProtection="1">
      <alignment horizontal="center" vertical="center" wrapText="1"/>
    </xf>
    <xf numFmtId="0" fontId="2" fillId="0" borderId="10" xfId="1" applyNumberFormat="1" applyFont="1" applyBorder="1" applyAlignment="1" applyProtection="1">
      <alignment horizontal="center" vertical="center" wrapText="1"/>
    </xf>
    <xf numFmtId="0" fontId="2" fillId="0" borderId="18" xfId="1" applyNumberFormat="1" applyFont="1" applyBorder="1" applyAlignment="1" applyProtection="1">
      <alignment horizontal="center" vertical="center" wrapText="1"/>
    </xf>
    <xf numFmtId="0" fontId="2" fillId="0" borderId="1" xfId="1" applyNumberFormat="1" applyFont="1" applyBorder="1" applyAlignment="1" applyProtection="1">
      <alignment horizontal="center" vertical="center" wrapText="1"/>
    </xf>
    <xf numFmtId="164" fontId="2" fillId="0" borderId="5" xfId="1" applyFont="1" applyBorder="1" applyProtection="1"/>
    <xf numFmtId="164" fontId="2" fillId="0" borderId="23" xfId="1" applyFont="1" applyBorder="1" applyProtection="1"/>
    <xf numFmtId="164" fontId="2" fillId="0" borderId="24" xfId="1" applyFont="1" applyBorder="1" applyProtection="1"/>
    <xf numFmtId="0" fontId="0" fillId="2" borderId="8" xfId="0" applyFill="1" applyBorder="1" applyAlignment="1" applyProtection="1">
      <alignment wrapText="1"/>
      <protection locked="0"/>
    </xf>
    <xf numFmtId="0" fontId="5" fillId="2" borderId="8" xfId="0" applyFont="1" applyFill="1" applyBorder="1" applyAlignment="1" applyProtection="1">
      <alignment wrapText="1"/>
      <protection locked="0"/>
    </xf>
    <xf numFmtId="0" fontId="0" fillId="2" borderId="9" xfId="0" applyFill="1" applyBorder="1" applyAlignment="1" applyProtection="1">
      <alignment wrapText="1"/>
      <protection locked="0"/>
    </xf>
    <xf numFmtId="164" fontId="2" fillId="0" borderId="16" xfId="1" applyFont="1" applyFill="1" applyBorder="1" applyProtection="1"/>
    <xf numFmtId="164" fontId="0" fillId="0" borderId="6" xfId="1" applyFont="1" applyFill="1" applyBorder="1" applyProtection="1"/>
    <xf numFmtId="164" fontId="0" fillId="0" borderId="27" xfId="1" applyFont="1" applyFill="1" applyBorder="1" applyProtection="1"/>
    <xf numFmtId="0" fontId="0" fillId="0" borderId="4" xfId="0" applyBorder="1" applyAlignment="1">
      <alignment wrapText="1"/>
    </xf>
    <xf numFmtId="0" fontId="4" fillId="3" borderId="23" xfId="0" applyFont="1" applyFill="1" applyBorder="1" applyAlignment="1">
      <alignment horizontal="center"/>
    </xf>
    <xf numFmtId="0" fontId="3" fillId="0" borderId="0" xfId="0" applyFont="1" applyAlignment="1">
      <alignment wrapText="1"/>
    </xf>
  </cellXfs>
  <cellStyles count="2">
    <cellStyle name="Currency" xfId="1" builtinId="4"/>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618261</xdr:colOff>
      <xdr:row>1</xdr:row>
      <xdr:rowOff>86520</xdr:rowOff>
    </xdr:from>
    <xdr:to>
      <xdr:col>6</xdr:col>
      <xdr:colOff>948019</xdr:colOff>
      <xdr:row>5</xdr:row>
      <xdr:rowOff>33659</xdr:rowOff>
    </xdr:to>
    <xdr:pic>
      <xdr:nvPicPr>
        <xdr:cNvPr id="3" name="Image 2">
          <a:extLst>
            <a:ext uri="{FF2B5EF4-FFF2-40B4-BE49-F238E27FC236}">
              <a16:creationId xmlns:a16="http://schemas.microsoft.com/office/drawing/2014/main" id="{D1AC3DC3-CEC7-4C1D-BA32-D69E8659E7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45085" y="274779"/>
          <a:ext cx="1311506" cy="6944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618261</xdr:colOff>
      <xdr:row>1</xdr:row>
      <xdr:rowOff>86520</xdr:rowOff>
    </xdr:from>
    <xdr:to>
      <xdr:col>6</xdr:col>
      <xdr:colOff>948019</xdr:colOff>
      <xdr:row>5</xdr:row>
      <xdr:rowOff>33659</xdr:rowOff>
    </xdr:to>
    <xdr:pic>
      <xdr:nvPicPr>
        <xdr:cNvPr id="2" name="Image 1">
          <a:extLst>
            <a:ext uri="{FF2B5EF4-FFF2-40B4-BE49-F238E27FC236}">
              <a16:creationId xmlns:a16="http://schemas.microsoft.com/office/drawing/2014/main" id="{7FB48A96-FBC5-4B2F-889D-AD75D30869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33761" y="269400"/>
          <a:ext cx="1358458" cy="68627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4"/>
  <sheetViews>
    <sheetView showGridLines="0" tabSelected="1" topLeftCell="A19" zoomScale="85" zoomScaleNormal="85" zoomScalePageLayoutView="40" workbookViewId="0">
      <selection activeCell="F21" sqref="F21"/>
    </sheetView>
  </sheetViews>
  <sheetFormatPr defaultColWidth="11.453125" defaultRowHeight="14.5" x14ac:dyDescent="0.35"/>
  <cols>
    <col min="1" max="1" width="38.6328125" customWidth="1"/>
    <col min="2" max="2" width="58" customWidth="1"/>
    <col min="3" max="3" width="15" bestFit="1" customWidth="1"/>
    <col min="4" max="5" width="15" customWidth="1"/>
    <col min="6" max="7" width="15" bestFit="1" customWidth="1"/>
    <col min="8" max="8" width="5.6328125" customWidth="1"/>
    <col min="9" max="9" width="32" bestFit="1" customWidth="1"/>
    <col min="10" max="10" width="42.90625" customWidth="1"/>
    <col min="11" max="14" width="15" customWidth="1"/>
  </cols>
  <sheetData>
    <row r="1" spans="1:7" x14ac:dyDescent="0.35">
      <c r="A1" s="1" t="s">
        <v>0</v>
      </c>
      <c r="B1" s="1"/>
    </row>
    <row r="2" spans="1:7" x14ac:dyDescent="0.35">
      <c r="A2" s="1" t="s">
        <v>20</v>
      </c>
      <c r="B2" s="1"/>
    </row>
    <row r="3" spans="1:7" x14ac:dyDescent="0.35">
      <c r="A3" s="1"/>
      <c r="B3" s="1"/>
    </row>
    <row r="4" spans="1:7" ht="15" customHeight="1" x14ac:dyDescent="0.35">
      <c r="A4" s="45" t="s">
        <v>1</v>
      </c>
      <c r="B4" s="45"/>
      <c r="C4" s="45"/>
      <c r="D4" s="11"/>
      <c r="E4" s="11"/>
      <c r="F4" s="11"/>
      <c r="G4" s="11"/>
    </row>
    <row r="5" spans="1:7" x14ac:dyDescent="0.35">
      <c r="A5" s="3" t="s">
        <v>2</v>
      </c>
      <c r="B5" s="3"/>
    </row>
    <row r="7" spans="1:7" x14ac:dyDescent="0.35">
      <c r="A7" s="2" t="s">
        <v>3</v>
      </c>
      <c r="B7" s="2"/>
    </row>
    <row r="8" spans="1:7" ht="44.4" customHeight="1" x14ac:dyDescent="0.35">
      <c r="A8" s="17" t="s">
        <v>34</v>
      </c>
    </row>
    <row r="10" spans="1:7" ht="15" thickBot="1" x14ac:dyDescent="0.4">
      <c r="A10" s="44" t="s">
        <v>4</v>
      </c>
      <c r="B10" s="44"/>
      <c r="C10" s="44"/>
      <c r="D10" s="44"/>
      <c r="E10" s="44"/>
      <c r="F10" s="44"/>
      <c r="G10" s="44"/>
    </row>
    <row r="11" spans="1:7" ht="59.4" customHeight="1" x14ac:dyDescent="0.35">
      <c r="A11" s="13" t="s">
        <v>8</v>
      </c>
      <c r="B11" s="14" t="s">
        <v>5</v>
      </c>
      <c r="C11" s="30" t="s">
        <v>32</v>
      </c>
      <c r="D11" s="31" t="s">
        <v>10</v>
      </c>
      <c r="E11" s="31" t="s">
        <v>11</v>
      </c>
      <c r="F11" s="32" t="s">
        <v>12</v>
      </c>
      <c r="G11" s="33" t="s">
        <v>13</v>
      </c>
    </row>
    <row r="12" spans="1:7" ht="29" x14ac:dyDescent="0.35">
      <c r="A12" s="7" t="s">
        <v>6</v>
      </c>
      <c r="B12" s="37" t="s">
        <v>35</v>
      </c>
      <c r="C12" s="18"/>
      <c r="D12" s="19"/>
      <c r="E12" s="19">
        <v>2500</v>
      </c>
      <c r="F12" s="20"/>
      <c r="G12" s="27">
        <f t="shared" ref="G12:G17" si="0">SUM(C12:F12)</f>
        <v>2500</v>
      </c>
    </row>
    <row r="13" spans="1:7" ht="29" x14ac:dyDescent="0.35">
      <c r="A13" s="7" t="s">
        <v>7</v>
      </c>
      <c r="B13" s="37" t="s">
        <v>39</v>
      </c>
      <c r="C13" s="18">
        <v>2640</v>
      </c>
      <c r="D13" s="19"/>
      <c r="E13" s="19"/>
      <c r="F13" s="20"/>
      <c r="G13" s="27">
        <f t="shared" si="0"/>
        <v>2640</v>
      </c>
    </row>
    <row r="14" spans="1:7" x14ac:dyDescent="0.35">
      <c r="A14" s="8" t="s">
        <v>14</v>
      </c>
      <c r="B14" s="38"/>
      <c r="C14" s="21"/>
      <c r="D14" s="22"/>
      <c r="E14" s="22"/>
      <c r="F14" s="23"/>
      <c r="G14" s="27">
        <f t="shared" si="0"/>
        <v>0</v>
      </c>
    </row>
    <row r="15" spans="1:7" x14ac:dyDescent="0.35">
      <c r="A15" s="7" t="s">
        <v>21</v>
      </c>
      <c r="B15" s="37"/>
      <c r="C15" s="18"/>
      <c r="D15" s="19"/>
      <c r="E15" s="19"/>
      <c r="F15" s="20"/>
      <c r="G15" s="27">
        <f t="shared" si="0"/>
        <v>0</v>
      </c>
    </row>
    <row r="16" spans="1:7" x14ac:dyDescent="0.35">
      <c r="A16" s="7" t="s">
        <v>23</v>
      </c>
      <c r="B16" s="37"/>
      <c r="C16" s="18"/>
      <c r="D16" s="19"/>
      <c r="E16" s="19"/>
      <c r="F16" s="20"/>
      <c r="G16" s="27">
        <f t="shared" si="0"/>
        <v>0</v>
      </c>
    </row>
    <row r="17" spans="1:7" ht="29.5" thickBot="1" x14ac:dyDescent="0.4">
      <c r="A17" s="43" t="s">
        <v>24</v>
      </c>
      <c r="B17" s="39"/>
      <c r="C17" s="24"/>
      <c r="D17" s="25"/>
      <c r="E17" s="25"/>
      <c r="F17" s="26"/>
      <c r="G17" s="28">
        <f t="shared" si="0"/>
        <v>0</v>
      </c>
    </row>
    <row r="18" spans="1:7" ht="15" thickBot="1" x14ac:dyDescent="0.4">
      <c r="A18" s="4" t="s">
        <v>15</v>
      </c>
      <c r="B18" s="5"/>
      <c r="C18" s="34">
        <f>SUM(C12:C17)</f>
        <v>2640</v>
      </c>
      <c r="D18" s="34">
        <f>SUM(D12:D17)</f>
        <v>0</v>
      </c>
      <c r="E18" s="34">
        <f>SUM(E12:E17)</f>
        <v>2500</v>
      </c>
      <c r="F18" s="29">
        <f>SUM(F12:F17)</f>
        <v>0</v>
      </c>
      <c r="G18" s="29">
        <f>SUM(G12:G17)</f>
        <v>5140</v>
      </c>
    </row>
    <row r="20" spans="1:7" ht="15" thickBot="1" x14ac:dyDescent="0.4">
      <c r="A20" s="44" t="s">
        <v>16</v>
      </c>
      <c r="B20" s="44"/>
      <c r="C20" s="44"/>
      <c r="D20" s="44"/>
      <c r="E20" s="44"/>
      <c r="F20" s="44"/>
      <c r="G20" s="44"/>
    </row>
    <row r="21" spans="1:7" s="12" customFormat="1" ht="56.4" customHeight="1" x14ac:dyDescent="0.35">
      <c r="A21" s="13" t="s">
        <v>8</v>
      </c>
      <c r="B21" s="14" t="s">
        <v>5</v>
      </c>
      <c r="C21" s="30" t="s">
        <v>32</v>
      </c>
      <c r="D21" s="31" t="s">
        <v>10</v>
      </c>
      <c r="E21" s="31" t="s">
        <v>11</v>
      </c>
      <c r="F21" s="32" t="s">
        <v>12</v>
      </c>
      <c r="G21" s="33" t="s">
        <v>13</v>
      </c>
    </row>
    <row r="22" spans="1:7" ht="29" x14ac:dyDescent="0.35">
      <c r="A22" s="7" t="s">
        <v>6</v>
      </c>
      <c r="B22" s="37" t="s">
        <v>37</v>
      </c>
      <c r="C22" s="18" t="s">
        <v>22</v>
      </c>
      <c r="D22" s="19"/>
      <c r="E22" s="19">
        <v>5000</v>
      </c>
      <c r="F22" s="20"/>
      <c r="G22" s="27">
        <f t="shared" ref="G22:G26" si="1">SUM(C22:F22)</f>
        <v>5000</v>
      </c>
    </row>
    <row r="23" spans="1:7" x14ac:dyDescent="0.35">
      <c r="A23" s="7" t="s">
        <v>7</v>
      </c>
      <c r="B23" s="37"/>
      <c r="C23" s="18"/>
      <c r="D23" s="19"/>
      <c r="E23" s="19"/>
      <c r="F23" s="20"/>
      <c r="G23" s="27">
        <f t="shared" si="1"/>
        <v>0</v>
      </c>
    </row>
    <row r="24" spans="1:7" x14ac:dyDescent="0.35">
      <c r="A24" s="8" t="s">
        <v>14</v>
      </c>
      <c r="B24" s="38"/>
      <c r="C24" s="21"/>
      <c r="D24" s="22"/>
      <c r="E24" s="22"/>
      <c r="F24" s="23"/>
      <c r="G24" s="27">
        <f t="shared" si="1"/>
        <v>0</v>
      </c>
    </row>
    <row r="25" spans="1:7" x14ac:dyDescent="0.35">
      <c r="A25" s="7" t="s">
        <v>21</v>
      </c>
      <c r="B25" s="37"/>
      <c r="C25" s="18" t="s">
        <v>22</v>
      </c>
      <c r="D25" s="19"/>
      <c r="E25" s="19"/>
      <c r="F25" s="20"/>
      <c r="G25" s="27">
        <f t="shared" si="1"/>
        <v>0</v>
      </c>
    </row>
    <row r="26" spans="1:7" ht="29" x14ac:dyDescent="0.35">
      <c r="A26" s="7" t="s">
        <v>23</v>
      </c>
      <c r="B26" s="37" t="s">
        <v>36</v>
      </c>
      <c r="C26" s="18"/>
      <c r="D26" s="19"/>
      <c r="E26" s="19">
        <v>600</v>
      </c>
      <c r="F26" s="20"/>
      <c r="G26" s="27">
        <f t="shared" si="1"/>
        <v>600</v>
      </c>
    </row>
    <row r="27" spans="1:7" ht="44" thickBot="1" x14ac:dyDescent="0.4">
      <c r="A27" s="43" t="s">
        <v>24</v>
      </c>
      <c r="B27" s="39" t="s">
        <v>38</v>
      </c>
      <c r="C27" s="24">
        <v>2360</v>
      </c>
      <c r="D27" s="25"/>
      <c r="E27" s="25">
        <v>4900</v>
      </c>
      <c r="F27" s="26"/>
      <c r="G27" s="28">
        <f t="shared" ref="G27" si="2">SUM(C27:F27)</f>
        <v>7260</v>
      </c>
    </row>
    <row r="28" spans="1:7" ht="15" thickBot="1" x14ac:dyDescent="0.4">
      <c r="A28" s="4" t="s">
        <v>15</v>
      </c>
      <c r="B28" s="5"/>
      <c r="C28" s="34">
        <f>SUM(C22:C27)</f>
        <v>2360</v>
      </c>
      <c r="D28" s="34">
        <f>SUM(D22:D27)</f>
        <v>0</v>
      </c>
      <c r="E28" s="34">
        <f>SUM(E22:E27)</f>
        <v>10500</v>
      </c>
      <c r="F28" s="35">
        <f>SUM(F22:F27)</f>
        <v>0</v>
      </c>
      <c r="G28" s="36">
        <f>SUM(G22:G27)</f>
        <v>12860</v>
      </c>
    </row>
    <row r="30" spans="1:7" ht="15" thickBot="1" x14ac:dyDescent="0.4">
      <c r="A30" s="44" t="s">
        <v>33</v>
      </c>
      <c r="B30" s="44"/>
      <c r="C30" s="44"/>
    </row>
    <row r="31" spans="1:7" s="12" customFormat="1" x14ac:dyDescent="0.35">
      <c r="A31" s="13" t="s">
        <v>8</v>
      </c>
      <c r="B31" s="14" t="s">
        <v>17</v>
      </c>
      <c r="C31" s="30"/>
      <c r="D31"/>
      <c r="E31"/>
      <c r="F31"/>
      <c r="G31"/>
    </row>
    <row r="32" spans="1:7" x14ac:dyDescent="0.35">
      <c r="A32" s="6" t="s">
        <v>25</v>
      </c>
      <c r="B32" s="9" t="s">
        <v>26</v>
      </c>
      <c r="C32" s="40">
        <f>C18+C28</f>
        <v>5000</v>
      </c>
    </row>
    <row r="33" spans="1:3" ht="58" x14ac:dyDescent="0.35">
      <c r="A33" s="7" t="s">
        <v>6</v>
      </c>
      <c r="B33" s="10" t="s">
        <v>18</v>
      </c>
      <c r="C33" s="41">
        <f>C12</f>
        <v>0</v>
      </c>
    </row>
    <row r="34" spans="1:3" x14ac:dyDescent="0.35">
      <c r="A34" s="15" t="s">
        <v>19</v>
      </c>
      <c r="B34" s="16"/>
      <c r="C34" s="42">
        <f>G18+G28</f>
        <v>18000</v>
      </c>
    </row>
  </sheetData>
  <sheetProtection formatColumns="0" formatRows="0" insertHyperlinks="0"/>
  <mergeCells count="4">
    <mergeCell ref="A30:C30"/>
    <mergeCell ref="A4:C4"/>
    <mergeCell ref="A10:G10"/>
    <mergeCell ref="A20:G20"/>
  </mergeCells>
  <conditionalFormatting sqref="C32">
    <cfRule type="cellIs" dxfId="3" priority="3" operator="greaterThan">
      <formula>5000</formula>
    </cfRule>
  </conditionalFormatting>
  <conditionalFormatting sqref="C33">
    <cfRule type="expression" dxfId="2" priority="2">
      <formula>$C$33&gt;($C$32*0.2)</formula>
    </cfRule>
  </conditionalFormatting>
  <pageMargins left="0.7" right="0.7" top="0.36812499999999998" bottom="0.75" header="0.3" footer="0.3"/>
  <pageSetup paperSize="9" scale="4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B8371-15D3-4AB9-A379-6E12B1A35467}">
  <sheetPr>
    <pageSetUpPr fitToPage="1"/>
  </sheetPr>
  <dimension ref="A1:G34"/>
  <sheetViews>
    <sheetView showGridLines="0" topLeftCell="A17" zoomScale="85" zoomScaleNormal="85" zoomScalePageLayoutView="40" workbookViewId="0">
      <selection activeCell="B16" sqref="B16"/>
    </sheetView>
  </sheetViews>
  <sheetFormatPr defaultColWidth="11.453125" defaultRowHeight="14.5" x14ac:dyDescent="0.35"/>
  <cols>
    <col min="1" max="1" width="38.6328125" customWidth="1"/>
    <col min="2" max="2" width="58" customWidth="1"/>
    <col min="3" max="3" width="15" bestFit="1" customWidth="1"/>
    <col min="4" max="5" width="15" customWidth="1"/>
    <col min="6" max="7" width="15" bestFit="1" customWidth="1"/>
    <col min="8" max="8" width="5.6328125" customWidth="1"/>
    <col min="9" max="9" width="32" bestFit="1" customWidth="1"/>
    <col min="10" max="10" width="42.90625" customWidth="1"/>
    <col min="11" max="14" width="15" customWidth="1"/>
  </cols>
  <sheetData>
    <row r="1" spans="1:7" x14ac:dyDescent="0.35">
      <c r="A1" s="1" t="s">
        <v>0</v>
      </c>
      <c r="B1" s="1"/>
    </row>
    <row r="2" spans="1:7" x14ac:dyDescent="0.35">
      <c r="A2" s="1" t="s">
        <v>20</v>
      </c>
      <c r="B2" s="1"/>
    </row>
    <row r="3" spans="1:7" x14ac:dyDescent="0.35">
      <c r="A3" s="1"/>
      <c r="B3" s="1"/>
    </row>
    <row r="4" spans="1:7" ht="15" customHeight="1" x14ac:dyDescent="0.35">
      <c r="A4" s="45" t="s">
        <v>1</v>
      </c>
      <c r="B4" s="45"/>
      <c r="C4" s="45"/>
      <c r="D4" s="11"/>
      <c r="E4" s="11"/>
      <c r="F4" s="11"/>
      <c r="G4" s="11"/>
    </row>
    <row r="5" spans="1:7" x14ac:dyDescent="0.35">
      <c r="A5" s="3" t="s">
        <v>2</v>
      </c>
      <c r="B5" s="3"/>
    </row>
    <row r="7" spans="1:7" x14ac:dyDescent="0.35">
      <c r="A7" s="2" t="s">
        <v>3</v>
      </c>
      <c r="B7" s="2"/>
    </row>
    <row r="8" spans="1:7" ht="44.4" customHeight="1" x14ac:dyDescent="0.35">
      <c r="A8" s="17"/>
    </row>
    <row r="10" spans="1:7" ht="15" thickBot="1" x14ac:dyDescent="0.4">
      <c r="A10" s="44" t="s">
        <v>4</v>
      </c>
      <c r="B10" s="44"/>
      <c r="C10" s="44"/>
      <c r="D10" s="44"/>
      <c r="E10" s="44"/>
      <c r="F10" s="44"/>
      <c r="G10" s="44"/>
    </row>
    <row r="11" spans="1:7" ht="59.4" customHeight="1" x14ac:dyDescent="0.35">
      <c r="A11" s="13" t="s">
        <v>8</v>
      </c>
      <c r="B11" s="14" t="s">
        <v>5</v>
      </c>
      <c r="C11" s="30" t="s">
        <v>9</v>
      </c>
      <c r="D11" s="31" t="s">
        <v>10</v>
      </c>
      <c r="E11" s="31" t="s">
        <v>11</v>
      </c>
      <c r="F11" s="32" t="s">
        <v>12</v>
      </c>
      <c r="G11" s="33" t="s">
        <v>13</v>
      </c>
    </row>
    <row r="12" spans="1:7" ht="43.5" x14ac:dyDescent="0.35">
      <c r="A12" s="7" t="s">
        <v>6</v>
      </c>
      <c r="B12" s="37" t="s">
        <v>30</v>
      </c>
      <c r="C12" s="18">
        <f>10*80</f>
        <v>800</v>
      </c>
      <c r="D12" s="19"/>
      <c r="E12" s="19">
        <f>(20*110)+(10*80)</f>
        <v>3000</v>
      </c>
      <c r="F12" s="20"/>
      <c r="G12" s="27">
        <f t="shared" ref="G12:G17" si="0">SUM(C12:F12)</f>
        <v>3800</v>
      </c>
    </row>
    <row r="13" spans="1:7" ht="62.4" customHeight="1" x14ac:dyDescent="0.35">
      <c r="A13" s="7" t="s">
        <v>7</v>
      </c>
      <c r="B13" s="37" t="s">
        <v>27</v>
      </c>
      <c r="C13" s="18">
        <f>600+(6*80)</f>
        <v>1080</v>
      </c>
      <c r="D13" s="19"/>
      <c r="E13" s="19">
        <f>600+(6*80)</f>
        <v>1080</v>
      </c>
      <c r="F13" s="20"/>
      <c r="G13" s="27">
        <f>SUM(C13:F13)</f>
        <v>2160</v>
      </c>
    </row>
    <row r="14" spans="1:7" x14ac:dyDescent="0.35">
      <c r="A14" s="8" t="s">
        <v>14</v>
      </c>
      <c r="B14" s="38"/>
      <c r="C14" s="21"/>
      <c r="D14" s="22"/>
      <c r="E14" s="22"/>
      <c r="F14" s="23"/>
      <c r="G14" s="27">
        <f t="shared" si="0"/>
        <v>0</v>
      </c>
    </row>
    <row r="15" spans="1:7" x14ac:dyDescent="0.35">
      <c r="A15" s="7" t="s">
        <v>21</v>
      </c>
      <c r="B15" s="37"/>
      <c r="C15" s="18"/>
      <c r="D15" s="19"/>
      <c r="E15" s="19"/>
      <c r="F15" s="20"/>
      <c r="G15" s="27">
        <f t="shared" si="0"/>
        <v>0</v>
      </c>
    </row>
    <row r="16" spans="1:7" ht="29" x14ac:dyDescent="0.35">
      <c r="A16" s="7" t="s">
        <v>23</v>
      </c>
      <c r="B16" s="37" t="s">
        <v>31</v>
      </c>
      <c r="C16" s="18">
        <f>300+500</f>
        <v>800</v>
      </c>
      <c r="D16" s="19"/>
      <c r="E16" s="19"/>
      <c r="F16" s="20"/>
      <c r="G16" s="27">
        <f t="shared" si="0"/>
        <v>800</v>
      </c>
    </row>
    <row r="17" spans="1:7" ht="29.5" thickBot="1" x14ac:dyDescent="0.4">
      <c r="A17" s="43" t="s">
        <v>24</v>
      </c>
      <c r="B17" s="39"/>
      <c r="C17" s="24"/>
      <c r="D17" s="25"/>
      <c r="E17" s="25"/>
      <c r="F17" s="26"/>
      <c r="G17" s="28">
        <f t="shared" si="0"/>
        <v>0</v>
      </c>
    </row>
    <row r="18" spans="1:7" ht="15" thickBot="1" x14ac:dyDescent="0.4">
      <c r="A18" s="4" t="s">
        <v>15</v>
      </c>
      <c r="B18" s="5"/>
      <c r="C18" s="34">
        <f>SUM(C12:C17)</f>
        <v>2680</v>
      </c>
      <c r="D18" s="34">
        <f>SUM(D12:D17)</f>
        <v>0</v>
      </c>
      <c r="E18" s="34">
        <f>SUM(E12:E17)</f>
        <v>4080</v>
      </c>
      <c r="F18" s="29">
        <f>SUM(F12:F17)</f>
        <v>0</v>
      </c>
      <c r="G18" s="29">
        <f>SUM(G12:G17)</f>
        <v>6760</v>
      </c>
    </row>
    <row r="20" spans="1:7" ht="15" thickBot="1" x14ac:dyDescent="0.4">
      <c r="A20" s="44" t="s">
        <v>16</v>
      </c>
      <c r="B20" s="44"/>
      <c r="C20" s="44"/>
      <c r="D20" s="44"/>
      <c r="E20" s="44"/>
      <c r="F20" s="44"/>
      <c r="G20" s="44"/>
    </row>
    <row r="21" spans="1:7" s="12" customFormat="1" ht="56.4" customHeight="1" x14ac:dyDescent="0.35">
      <c r="A21" s="13" t="s">
        <v>8</v>
      </c>
      <c r="B21" s="14" t="s">
        <v>5</v>
      </c>
      <c r="C21" s="30" t="s">
        <v>9</v>
      </c>
      <c r="D21" s="31" t="s">
        <v>10</v>
      </c>
      <c r="E21" s="31" t="s">
        <v>11</v>
      </c>
      <c r="F21" s="32" t="s">
        <v>12</v>
      </c>
      <c r="G21" s="33" t="s">
        <v>13</v>
      </c>
    </row>
    <row r="22" spans="1:7" ht="29" x14ac:dyDescent="0.35">
      <c r="A22" s="7" t="s">
        <v>6</v>
      </c>
      <c r="B22" s="37" t="s">
        <v>28</v>
      </c>
      <c r="C22" s="18" t="s">
        <v>22</v>
      </c>
      <c r="D22" s="19"/>
      <c r="E22" s="19">
        <f>50*25</f>
        <v>1250</v>
      </c>
      <c r="F22" s="20"/>
      <c r="G22" s="27">
        <f t="shared" ref="G22:G26" si="1">SUM(C22:F22)</f>
        <v>1250</v>
      </c>
    </row>
    <row r="23" spans="1:7" x14ac:dyDescent="0.35">
      <c r="A23" s="7" t="s">
        <v>7</v>
      </c>
      <c r="B23" s="37"/>
      <c r="C23" s="18"/>
      <c r="D23" s="19"/>
      <c r="E23" s="19"/>
      <c r="F23" s="20"/>
      <c r="G23" s="27">
        <f t="shared" si="1"/>
        <v>0</v>
      </c>
    </row>
    <row r="24" spans="1:7" x14ac:dyDescent="0.35">
      <c r="A24" s="8" t="s">
        <v>14</v>
      </c>
      <c r="B24" s="38"/>
      <c r="C24" s="21"/>
      <c r="D24" s="22"/>
      <c r="E24" s="22"/>
      <c r="F24" s="23"/>
      <c r="G24" s="27">
        <f t="shared" si="1"/>
        <v>0</v>
      </c>
    </row>
    <row r="25" spans="1:7" x14ac:dyDescent="0.35">
      <c r="A25" s="7" t="s">
        <v>21</v>
      </c>
      <c r="B25" s="37"/>
      <c r="C25" s="18" t="s">
        <v>22</v>
      </c>
      <c r="D25" s="19"/>
      <c r="E25" s="19"/>
      <c r="F25" s="20"/>
      <c r="G25" s="27">
        <f t="shared" si="1"/>
        <v>0</v>
      </c>
    </row>
    <row r="26" spans="1:7" x14ac:dyDescent="0.35">
      <c r="A26" s="7" t="s">
        <v>23</v>
      </c>
      <c r="B26" s="37"/>
      <c r="C26" s="18"/>
      <c r="D26" s="19"/>
      <c r="E26" s="19"/>
      <c r="F26" s="20"/>
      <c r="G26" s="27">
        <f t="shared" si="1"/>
        <v>0</v>
      </c>
    </row>
    <row r="27" spans="1:7" ht="58.5" thickBot="1" x14ac:dyDescent="0.4">
      <c r="A27" s="43" t="s">
        <v>24</v>
      </c>
      <c r="B27" s="39" t="s">
        <v>29</v>
      </c>
      <c r="C27" s="24">
        <f>(3*200)+(3*(50+(3*80)+(3*25)))</f>
        <v>1695</v>
      </c>
      <c r="D27" s="25"/>
      <c r="E27" s="25">
        <v>1000</v>
      </c>
      <c r="F27" s="26"/>
      <c r="G27" s="28">
        <f t="shared" ref="G27" si="2">SUM(C27:F27)</f>
        <v>2695</v>
      </c>
    </row>
    <row r="28" spans="1:7" ht="15" thickBot="1" x14ac:dyDescent="0.4">
      <c r="A28" s="4" t="s">
        <v>15</v>
      </c>
      <c r="B28" s="5"/>
      <c r="C28" s="34">
        <f>SUM(C22:C27)</f>
        <v>1695</v>
      </c>
      <c r="D28" s="34">
        <f>SUM(D22:D27)</f>
        <v>0</v>
      </c>
      <c r="E28" s="34">
        <f>SUM(E22:E27)</f>
        <v>2250</v>
      </c>
      <c r="F28" s="35">
        <f>SUM(F22:F27)</f>
        <v>0</v>
      </c>
      <c r="G28" s="36">
        <f>SUM(G22:G27)</f>
        <v>3945</v>
      </c>
    </row>
    <row r="30" spans="1:7" ht="15" thickBot="1" x14ac:dyDescent="0.4">
      <c r="A30" s="44" t="s">
        <v>33</v>
      </c>
      <c r="B30" s="44"/>
      <c r="C30" s="44"/>
    </row>
    <row r="31" spans="1:7" s="12" customFormat="1" x14ac:dyDescent="0.35">
      <c r="A31" s="13" t="s">
        <v>8</v>
      </c>
      <c r="B31" s="14" t="s">
        <v>17</v>
      </c>
      <c r="C31" s="30"/>
      <c r="D31"/>
      <c r="E31"/>
      <c r="F31"/>
      <c r="G31"/>
    </row>
    <row r="32" spans="1:7" x14ac:dyDescent="0.35">
      <c r="A32" s="6" t="s">
        <v>25</v>
      </c>
      <c r="B32" s="9" t="s">
        <v>26</v>
      </c>
      <c r="C32" s="40">
        <f>C18+C28</f>
        <v>4375</v>
      </c>
    </row>
    <row r="33" spans="1:3" ht="58" x14ac:dyDescent="0.35">
      <c r="A33" s="7" t="s">
        <v>6</v>
      </c>
      <c r="B33" s="10" t="s">
        <v>18</v>
      </c>
      <c r="C33" s="41">
        <f>C12</f>
        <v>800</v>
      </c>
    </row>
    <row r="34" spans="1:3" x14ac:dyDescent="0.35">
      <c r="A34" s="15" t="s">
        <v>19</v>
      </c>
      <c r="B34" s="16"/>
      <c r="C34" s="42">
        <f>G18+G28</f>
        <v>10705</v>
      </c>
    </row>
  </sheetData>
  <sheetProtection formatColumns="0" formatRows="0" insertHyperlinks="0"/>
  <mergeCells count="4">
    <mergeCell ref="A4:C4"/>
    <mergeCell ref="A10:G10"/>
    <mergeCell ref="A20:G20"/>
    <mergeCell ref="A30:C30"/>
  </mergeCells>
  <conditionalFormatting sqref="C32">
    <cfRule type="cellIs" dxfId="1" priority="2" operator="greaterThan">
      <formula>5000</formula>
    </cfRule>
  </conditionalFormatting>
  <conditionalFormatting sqref="C33">
    <cfRule type="expression" dxfId="0" priority="1">
      <formula>$C$33&gt;($C$32*0.2)</formula>
    </cfRule>
  </conditionalFormatting>
  <pageMargins left="0.7" right="0.7" top="0.36812499999999998" bottom="0.75" header="0.3" footer="0.3"/>
  <pageSetup paperSize="9" scale="44" orientation="landscape"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Example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Krieger Michael</dc:creator>
  <cp:keywords/>
  <dc:description/>
  <cp:lastModifiedBy>Osterrieder, Jörg</cp:lastModifiedBy>
  <cp:revision/>
  <dcterms:created xsi:type="dcterms:W3CDTF">2021-10-12T11:34:40Z</dcterms:created>
  <dcterms:modified xsi:type="dcterms:W3CDTF">2025-10-30T17:23:26Z</dcterms:modified>
  <cp:category/>
  <cp:contentStatus/>
</cp:coreProperties>
</file>